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B1" sheetId="3" r:id="rId7"/>
    <sheet state="visible" name="C2" sheetId="4" r:id="rId8"/>
  </sheets>
  <definedNames/>
  <calcPr/>
</workbook>
</file>

<file path=xl/sharedStrings.xml><?xml version="1.0" encoding="utf-8"?>
<sst xmlns="http://schemas.openxmlformats.org/spreadsheetml/2006/main" count="125" uniqueCount="44">
  <si>
    <t>Target</t>
  </si>
  <si>
    <t>Speed</t>
  </si>
  <si>
    <t>Odom Reported</t>
  </si>
  <si>
    <t>Actual</t>
  </si>
  <si>
    <t>Diff bw odom and actual</t>
  </si>
  <si>
    <t>%</t>
  </si>
  <si>
    <t>Pass Fail</t>
  </si>
  <si>
    <t>Summary</t>
  </si>
  <si>
    <t>Average Error</t>
  </si>
  <si>
    <t>Avg % Error</t>
  </si>
  <si>
    <t>Std Dev Error</t>
  </si>
  <si>
    <t>Pass/Fail</t>
  </si>
  <si>
    <t>AVG</t>
  </si>
  <si>
    <t>STDDEV</t>
  </si>
  <si>
    <t>0.1 Speed</t>
  </si>
  <si>
    <t>0.3 Speed</t>
  </si>
  <si>
    <t xml:space="preserve">    </t>
  </si>
  <si>
    <t xml:space="preserve">         </t>
  </si>
  <si>
    <t>Avg Error</t>
  </si>
  <si>
    <t>Odom Closing Error</t>
  </si>
  <si>
    <t>Actual Closing error</t>
  </si>
  <si>
    <t>Diff</t>
  </si>
  <si>
    <t>%diff</t>
  </si>
  <si>
    <t>0.1 m/s</t>
  </si>
  <si>
    <t>0.2 m/s</t>
  </si>
  <si>
    <t>0.3 m/s</t>
  </si>
  <si>
    <t xml:space="preserve">  </t>
  </si>
  <si>
    <t>ground_truth_m</t>
  </si>
  <si>
    <t>mean_m</t>
  </si>
  <si>
    <t>std_m</t>
  </si>
  <si>
    <t>error_m</t>
  </si>
  <si>
    <t>Error %</t>
  </si>
  <si>
    <t>n_samples</t>
  </si>
  <si>
    <t>error_pct</t>
  </si>
  <si>
    <t>min_reading</t>
  </si>
  <si>
    <t>max_reading</t>
  </si>
  <si>
    <t xml:space="preserve"> </t>
  </si>
  <si>
    <t>Target (m)</t>
  </si>
  <si>
    <t>Object Visible yes no</t>
  </si>
  <si>
    <t>Pixels Detected</t>
  </si>
  <si>
    <t>Red Object Detected</t>
  </si>
  <si>
    <t>no</t>
  </si>
  <si>
    <t>Top face only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</si>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</sst>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%Error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0.1 m/s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'A1'!$J$10:$J$12</c:f>
            </c:strRef>
          </c:cat>
          <c:val>
            <c:numRef>
              <c:f>'A1'!$K$10:$K$12</c:f>
              <c:numCache/>
            </c:numRef>
          </c:val>
        </c:ser>
        <c:ser>
          <c:idx val="1"/>
          <c:order val="1"/>
          <c:tx>
            <c:v>0.3 m/s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'A1'!$J$10:$J$12</c:f>
            </c:strRef>
          </c:cat>
          <c:val>
            <c:numRef>
              <c:f>'A1'!$L$10:$L$12</c:f>
              <c:numCache/>
            </c:numRef>
          </c:val>
        </c:ser>
        <c:axId val="340899766"/>
        <c:axId val="361129768"/>
      </c:barChart>
      <c:catAx>
        <c:axId val="340899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129768"/>
      </c:catAx>
      <c:valAx>
        <c:axId val="361129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%Error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899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0.1 m/s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'A1'!$J$35:$J$37</c:f>
            </c:strRef>
          </c:cat>
          <c:val>
            <c:numRef>
              <c:f>'A1'!$K$35:$K$37</c:f>
              <c:numCache/>
            </c:numRef>
          </c:val>
        </c:ser>
        <c:ser>
          <c:idx val="1"/>
          <c:order val="1"/>
          <c:tx>
            <c:v>0.3 m/s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'A1'!$J$35:$J$37</c:f>
            </c:strRef>
          </c:cat>
          <c:val>
            <c:numRef>
              <c:f>'A1'!$L$35:$L$37</c:f>
              <c:numCache/>
            </c:numRef>
          </c:val>
        </c:ser>
        <c:axId val="1817203218"/>
        <c:axId val="1958388398"/>
      </c:barChart>
      <c:catAx>
        <c:axId val="1817203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388398"/>
      </c:catAx>
      <c:valAx>
        <c:axId val="1958388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Error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203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Dev of 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0.1 m/s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'A1'!$P$10:$P$12</c:f>
            </c:strRef>
          </c:cat>
          <c:val>
            <c:numRef>
              <c:f>'A1'!$Q$10:$Q$12</c:f>
              <c:numCache/>
            </c:numRef>
          </c:val>
        </c:ser>
        <c:ser>
          <c:idx val="1"/>
          <c:order val="1"/>
          <c:tx>
            <c:v>0.3 m/s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'A1'!$P$10:$P$12</c:f>
            </c:strRef>
          </c:cat>
          <c:val>
            <c:numRef>
              <c:f>'A1'!$R$10:$R$12</c:f>
              <c:numCache/>
            </c:numRef>
          </c:val>
        </c:ser>
        <c:axId val="1125986478"/>
        <c:axId val="1469424542"/>
      </c:barChart>
      <c:catAx>
        <c:axId val="1125986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24542"/>
      </c:catAx>
      <c:valAx>
        <c:axId val="1469424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Std Dev of Error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986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'A2'!$K$9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'A2'!$J$10:$J$11</c:f>
            </c:strRef>
          </c:cat>
          <c:val>
            <c:numRef>
              <c:f>'A2'!$K$10:$K$11</c:f>
              <c:numCache/>
            </c:numRef>
          </c:val>
        </c:ser>
        <c:ser>
          <c:idx val="1"/>
          <c:order val="1"/>
          <c:tx>
            <c:strRef>
              <c:f>'A2'!$L$9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'A2'!$J$10:$J$11</c:f>
            </c:strRef>
          </c:cat>
          <c:val>
            <c:numRef>
              <c:f>'A2'!$L$10:$L$11</c:f>
              <c:numCache/>
            </c:numRef>
          </c:val>
        </c:ser>
        <c:ser>
          <c:idx val="2"/>
          <c:order val="2"/>
          <c:tx>
            <c:strRef>
              <c:f>'A2'!$M$9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'A2'!$J$10:$J$11</c:f>
            </c:strRef>
          </c:cat>
          <c:val>
            <c:numRef>
              <c:f>'A2'!$M$10:$M$11</c:f>
              <c:numCache/>
            </c:numRef>
          </c:val>
        </c:ser>
        <c:axId val="2108848142"/>
        <c:axId val="1472374521"/>
      </c:barChart>
      <c:catAx>
        <c:axId val="2108848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374521"/>
      </c:catAx>
      <c:valAx>
        <c:axId val="1472374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Error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848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%Error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'A2'!$K$14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'A2'!$J$15:$J$16</c:f>
            </c:strRef>
          </c:cat>
          <c:val>
            <c:numRef>
              <c:f>'A2'!$K$15:$K$16</c:f>
              <c:numCache/>
            </c:numRef>
          </c:val>
        </c:ser>
        <c:ser>
          <c:idx val="1"/>
          <c:order val="1"/>
          <c:tx>
            <c:strRef>
              <c:f>'A2'!$L$14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'A2'!$J$15:$J$16</c:f>
            </c:strRef>
          </c:cat>
          <c:val>
            <c:numRef>
              <c:f>'A2'!$L$15:$L$16</c:f>
              <c:numCache/>
            </c:numRef>
          </c:val>
        </c:ser>
        <c:ser>
          <c:idx val="2"/>
          <c:order val="2"/>
          <c:tx>
            <c:strRef>
              <c:f>'A2'!$M$14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'A2'!$J$15:$J$16</c:f>
            </c:strRef>
          </c:cat>
          <c:val>
            <c:numRef>
              <c:f>'A2'!$M$15:$M$16</c:f>
              <c:numCache/>
            </c:numRef>
          </c:val>
        </c:ser>
        <c:axId val="620378987"/>
        <c:axId val="894008574"/>
      </c:barChart>
      <c:catAx>
        <c:axId val="620378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008574"/>
      </c:catAx>
      <c:valAx>
        <c:axId val="894008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%Error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378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Dev Error by Target and Speed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'A2'!$K$19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'A2'!$J$20:$J$21</c:f>
            </c:strRef>
          </c:cat>
          <c:val>
            <c:numRef>
              <c:f>'A2'!$K$20:$K$21</c:f>
              <c:numCache/>
            </c:numRef>
          </c:val>
        </c:ser>
        <c:ser>
          <c:idx val="1"/>
          <c:order val="1"/>
          <c:tx>
            <c:strRef>
              <c:f>'A2'!$L$19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'A2'!$J$20:$J$21</c:f>
            </c:strRef>
          </c:cat>
          <c:val>
            <c:numRef>
              <c:f>'A2'!$L$20:$L$21</c:f>
              <c:numCache/>
            </c:numRef>
          </c:val>
        </c:ser>
        <c:ser>
          <c:idx val="2"/>
          <c:order val="2"/>
          <c:tx>
            <c:strRef>
              <c:f>'A2'!$M$19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'A2'!$J$20:$J$21</c:f>
            </c:strRef>
          </c:cat>
          <c:val>
            <c:numRef>
              <c:f>'A2'!$M$20:$M$21</c:f>
              <c:numCache/>
            </c:numRef>
          </c:val>
        </c:ser>
        <c:axId val="756477074"/>
        <c:axId val="707940075"/>
      </c:barChart>
      <c:catAx>
        <c:axId val="756477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940075"/>
      </c:catAx>
      <c:valAx>
        <c:axId val="707940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Std Dev Error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477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Dev and Error for Distances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'B1'!$A$2:$A$11</c:f>
            </c:strRef>
          </c:cat>
          <c:val>
            <c:numRef>
              <c:f>'B1'!$C$2:$C$11</c:f>
              <c:numCache/>
            </c:numRef>
          </c:val>
        </c:ser>
        <c:ser>
          <c:idx val="1"/>
          <c:order val="1"/>
          <c:tx>
            <c:strRef>
              <c:f>'B1'!$D$1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'B1'!$A$2:$A$11</c:f>
            </c:strRef>
          </c:cat>
          <c:val>
            <c:numRef>
              <c:f>'B1'!$D$2:$D$11</c:f>
              <c:numCache/>
            </c:numRef>
          </c:val>
        </c:ser>
        <c:axId val="1354998774"/>
        <c:axId val="44252249"/>
      </c:barChart>
      <c:catAx>
        <c:axId val="135499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Wall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52249"/>
      </c:catAx>
      <c:valAx>
        <c:axId val="44252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99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%Error for Distances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'B1'!$A$2:$A$11</c:f>
            </c:strRef>
          </c:cat>
          <c:val>
            <c:numRef>
              <c:f>'B1'!$E$2:$E$11</c:f>
              <c:numCache/>
            </c:numRef>
          </c:val>
        </c:ser>
        <c:axId val="1742124895"/>
        <c:axId val="99323616"/>
      </c:barChart>
      <c:catAx>
        <c:axId val="174212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Wall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23616"/>
      </c:catAx>
      <c:valAx>
        <c:axId val="99323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24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1143000</xdr:colOff>
      <xdr:row>12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1143000</xdr:colOff>
      <xdr:row>39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933450</xdr:colOff>
      <xdr:row>12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22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342900</xdr:colOff>
      <xdr:row>22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</xdr:colOff>
      <xdr:row>41</xdr:row>
      <xdr:rowOff>104775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933450</xdr:colOff>
      <xdr:row>62</xdr:row>
      <xdr:rowOff>152400</xdr:rowOff>
    </xdr:from>
    <xdr:ext cx="7143750" cy="37433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800100</xdr:colOff>
      <xdr:row>23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800100</xdr:colOff>
      <xdr:row>4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342900</xdr:colOff>
      <xdr:row>12</xdr:row>
      <xdr:rowOff>66675</xdr:rowOff>
    </xdr:from>
    <xdr:ext cx="4876800" cy="4552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35</xdr:row>
      <xdr:rowOff>76200</xdr:rowOff>
    </xdr:from>
    <xdr:ext cx="6896100" cy="12573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2</xdr:row>
      <xdr:rowOff>47625</xdr:rowOff>
    </xdr:from>
    <xdr:ext cx="4876800" cy="37719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5.13"/>
    <col customWidth="1" min="4" max="4" width="15.75"/>
    <col customWidth="1" min="5" max="6" width="18.75"/>
    <col customWidth="1" min="7" max="7" width="10.75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0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</row>
    <row r="2">
      <c r="A2" s="1">
        <v>1.0</v>
      </c>
      <c r="B2" s="1">
        <v>0.1</v>
      </c>
      <c r="C2" s="1">
        <v>0.9015</v>
      </c>
      <c r="D2" s="1">
        <v>0.9</v>
      </c>
      <c r="E2" s="2">
        <f t="shared" ref="E2:E6" si="2">abs(C2-D2)</f>
        <v>0.0015</v>
      </c>
      <c r="F2" s="2">
        <f t="shared" ref="F2:F6" si="3">E2/D2*100</f>
        <v>0.1666666667</v>
      </c>
      <c r="G2" s="2" t="str">
        <f t="shared" ref="G2:G7" si="4">IF(E2 &lt;= 0.05, "PASS", "FAIL")</f>
        <v>PASS</v>
      </c>
      <c r="J2" s="1">
        <v>1.0</v>
      </c>
      <c r="K2" s="1">
        <v>0.1</v>
      </c>
      <c r="L2" s="2">
        <f t="shared" ref="L2:M2" si="1">E7</f>
        <v>0.03394</v>
      </c>
      <c r="M2" s="2">
        <f t="shared" si="1"/>
        <v>3.669177449</v>
      </c>
      <c r="N2" s="2">
        <f>E8</f>
        <v>0.03984128512</v>
      </c>
      <c r="O2" s="2" t="str">
        <f>IF(E7 &lt;= 0.05, "PASS", "FAIL")</f>
        <v>PASS</v>
      </c>
    </row>
    <row r="3">
      <c r="A3" s="1">
        <v>1.0</v>
      </c>
      <c r="B3" s="1">
        <v>0.1</v>
      </c>
      <c r="C3" s="1">
        <v>0.8742</v>
      </c>
      <c r="D3" s="1">
        <v>0.96</v>
      </c>
      <c r="E3" s="2">
        <f t="shared" si="2"/>
        <v>0.0858</v>
      </c>
      <c r="F3" s="2">
        <f t="shared" si="3"/>
        <v>8.9375</v>
      </c>
      <c r="G3" s="2" t="str">
        <f t="shared" si="4"/>
        <v>FAIL</v>
      </c>
      <c r="J3" s="1">
        <v>1.0</v>
      </c>
      <c r="K3" s="1">
        <v>0.3</v>
      </c>
      <c r="L3" s="2">
        <f t="shared" ref="L3:M3" si="5">E14</f>
        <v>0.0116</v>
      </c>
      <c r="M3" s="2">
        <f t="shared" si="5"/>
        <v>1.765043474</v>
      </c>
      <c r="N3" s="2">
        <f>E15</f>
        <v>0.006566962768</v>
      </c>
      <c r="O3" s="2" t="str">
        <f>IF(E14 &lt;= 0.05, "PASS", "FAIL")</f>
        <v>PASS</v>
      </c>
    </row>
    <row r="4">
      <c r="A4" s="1">
        <v>1.0</v>
      </c>
      <c r="B4" s="1">
        <v>0.1</v>
      </c>
      <c r="C4" s="1">
        <v>0.8226</v>
      </c>
      <c r="D4" s="1">
        <v>0.89</v>
      </c>
      <c r="E4" s="2">
        <f t="shared" si="2"/>
        <v>0.0674</v>
      </c>
      <c r="F4" s="2">
        <f t="shared" si="3"/>
        <v>7.573033708</v>
      </c>
      <c r="G4" s="2" t="str">
        <f t="shared" si="4"/>
        <v>FAIL</v>
      </c>
      <c r="J4" s="1">
        <v>3.0</v>
      </c>
      <c r="K4" s="1">
        <v>0.1</v>
      </c>
      <c r="L4" s="2">
        <f t="shared" ref="L4:M4" si="6">E21</f>
        <v>0.10222</v>
      </c>
      <c r="M4" s="2">
        <f t="shared" si="6"/>
        <v>3.484715827</v>
      </c>
      <c r="N4" s="2">
        <f>E22</f>
        <v>0.05283338906</v>
      </c>
      <c r="O4" s="2" t="str">
        <f>IF(E21 &lt;= 0.05, "PASS", "FAIL")</f>
        <v>FAIL</v>
      </c>
    </row>
    <row r="5">
      <c r="A5" s="1">
        <v>1.0</v>
      </c>
      <c r="B5" s="1">
        <v>0.1</v>
      </c>
      <c r="C5" s="1">
        <v>0.8792</v>
      </c>
      <c r="D5" s="1">
        <v>0.88</v>
      </c>
      <c r="E5" s="2">
        <f t="shared" si="2"/>
        <v>0.0008</v>
      </c>
      <c r="F5" s="2">
        <f t="shared" si="3"/>
        <v>0.09090909091</v>
      </c>
      <c r="G5" s="2" t="str">
        <f t="shared" si="4"/>
        <v>PASS</v>
      </c>
      <c r="J5" s="1">
        <v>3.0</v>
      </c>
      <c r="K5" s="1">
        <v>0.3</v>
      </c>
      <c r="L5" s="2">
        <f t="shared" ref="L5:M5" si="7">E28</f>
        <v>0.06894</v>
      </c>
      <c r="M5" s="2">
        <f t="shared" si="7"/>
        <v>2.548642211</v>
      </c>
      <c r="N5" s="2">
        <f>E29</f>
        <v>0.03311386417</v>
      </c>
      <c r="O5" s="2" t="str">
        <f>IF(E28 &lt;= 0.05, "PASS", "FAIL")</f>
        <v>FAIL</v>
      </c>
    </row>
    <row r="6">
      <c r="A6" s="1">
        <v>1.0</v>
      </c>
      <c r="B6" s="1">
        <v>0.1</v>
      </c>
      <c r="C6" s="1">
        <v>0.9142</v>
      </c>
      <c r="D6" s="1">
        <v>0.9</v>
      </c>
      <c r="E6" s="2">
        <f t="shared" si="2"/>
        <v>0.0142</v>
      </c>
      <c r="F6" s="2">
        <f t="shared" si="3"/>
        <v>1.577777778</v>
      </c>
      <c r="G6" s="2" t="str">
        <f t="shared" si="4"/>
        <v>PASS</v>
      </c>
      <c r="J6" s="1">
        <v>5.0</v>
      </c>
      <c r="K6" s="1">
        <v>0.1</v>
      </c>
      <c r="L6" s="2">
        <f t="shared" ref="L6:M6" si="8">E35</f>
        <v>0.06306666667</v>
      </c>
      <c r="M6" s="2">
        <f t="shared" si="8"/>
        <v>1.312753266</v>
      </c>
      <c r="N6" s="2">
        <f>E36</f>
        <v>0.002797022226</v>
      </c>
      <c r="O6" s="2" t="str">
        <f>IF(E35 &lt;= 0.05, "PASS", "FAIL")</f>
        <v>FAIL</v>
      </c>
    </row>
    <row r="7">
      <c r="D7" s="3" t="s">
        <v>12</v>
      </c>
      <c r="E7" s="4">
        <f t="shared" ref="E7:F7" si="9">AVERAGE(E2:E6)</f>
        <v>0.03394</v>
      </c>
      <c r="F7" s="4">
        <f t="shared" si="9"/>
        <v>3.669177449</v>
      </c>
      <c r="G7" s="2" t="str">
        <f t="shared" si="4"/>
        <v>PASS</v>
      </c>
      <c r="J7" s="1">
        <v>5.0</v>
      </c>
      <c r="K7" s="1">
        <v>0.3</v>
      </c>
      <c r="L7" s="2">
        <f t="shared" ref="L7:M7" si="10">E42</f>
        <v>0.08676666667</v>
      </c>
      <c r="M7" s="2">
        <f t="shared" si="10"/>
        <v>1.830505926</v>
      </c>
      <c r="N7" s="2">
        <f>E43</f>
        <v>0.005950070028</v>
      </c>
      <c r="O7" s="2" t="str">
        <f>IF(E42 &lt;= 0.05, "PASS", "FAIL")</f>
        <v>FAIL</v>
      </c>
    </row>
    <row r="8">
      <c r="D8" s="3" t="s">
        <v>13</v>
      </c>
      <c r="E8" s="5">
        <f t="shared" ref="E8:F8" si="11">STDEV(E2:E6)</f>
        <v>0.03984128512</v>
      </c>
      <c r="F8" s="5">
        <f t="shared" si="11"/>
        <v>4.25560968</v>
      </c>
    </row>
    <row r="9">
      <c r="A9" s="1">
        <v>1.0</v>
      </c>
      <c r="B9" s="1">
        <v>0.3</v>
      </c>
      <c r="C9" s="1">
        <v>0.7394</v>
      </c>
      <c r="D9" s="1">
        <v>0.76</v>
      </c>
      <c r="E9" s="2">
        <f t="shared" ref="E9:E13" si="12">abs(C9-D9)</f>
        <v>0.0206</v>
      </c>
      <c r="F9" s="2">
        <f t="shared" ref="F9:F13" si="13">E9/D9*100</f>
        <v>2.710526316</v>
      </c>
      <c r="G9" s="2" t="str">
        <f t="shared" ref="G9:G14" si="14">IF(E9 &lt;= 0.05, "PASS", "FAIL")</f>
        <v>PASS</v>
      </c>
      <c r="I9" s="1" t="s">
        <v>9</v>
      </c>
      <c r="J9" s="1" t="s">
        <v>0</v>
      </c>
      <c r="K9" s="1" t="s">
        <v>14</v>
      </c>
      <c r="L9" s="1" t="s">
        <v>15</v>
      </c>
      <c r="O9" s="1" t="s">
        <v>10</v>
      </c>
      <c r="P9" s="1" t="s">
        <v>0</v>
      </c>
      <c r="Q9" s="1" t="s">
        <v>14</v>
      </c>
      <c r="R9" s="1" t="s">
        <v>15</v>
      </c>
    </row>
    <row r="10">
      <c r="A10" s="1">
        <v>1.0</v>
      </c>
      <c r="B10" s="1">
        <v>0.3</v>
      </c>
      <c r="C10" s="1">
        <v>0.4449</v>
      </c>
      <c r="D10" s="1">
        <v>0.46</v>
      </c>
      <c r="E10" s="2">
        <f t="shared" si="12"/>
        <v>0.0151</v>
      </c>
      <c r="F10" s="2">
        <f t="shared" si="13"/>
        <v>3.282608696</v>
      </c>
      <c r="G10" s="2" t="str">
        <f t="shared" si="14"/>
        <v>PASS</v>
      </c>
      <c r="J10" s="1">
        <v>1.0</v>
      </c>
      <c r="K10" s="1">
        <f>F7</f>
        <v>3.669177449</v>
      </c>
      <c r="L10" s="2">
        <f>F14</f>
        <v>1.765043474</v>
      </c>
      <c r="P10" s="1">
        <v>1.0</v>
      </c>
      <c r="Q10" s="2">
        <f>E8</f>
        <v>0.03984128512</v>
      </c>
      <c r="R10" s="2">
        <f>E15</f>
        <v>0.006566962768</v>
      </c>
    </row>
    <row r="11">
      <c r="A11" s="1">
        <v>1.0</v>
      </c>
      <c r="B11" s="1">
        <v>0.3</v>
      </c>
      <c r="C11" s="1">
        <v>0.8039</v>
      </c>
      <c r="D11" s="1">
        <v>0.81</v>
      </c>
      <c r="E11" s="2">
        <f t="shared" si="12"/>
        <v>0.0061</v>
      </c>
      <c r="F11" s="2">
        <f t="shared" si="13"/>
        <v>0.7530864198</v>
      </c>
      <c r="G11" s="2" t="str">
        <f t="shared" si="14"/>
        <v>PASS</v>
      </c>
      <c r="J11" s="1">
        <v>3.0</v>
      </c>
      <c r="K11" s="2">
        <f>F21</f>
        <v>3.484715827</v>
      </c>
      <c r="L11" s="2">
        <f>F28</f>
        <v>2.548642211</v>
      </c>
      <c r="P11" s="1">
        <v>3.0</v>
      </c>
      <c r="Q11" s="2">
        <f>E22</f>
        <v>0.05283338906</v>
      </c>
      <c r="R11" s="2">
        <f>E29</f>
        <v>0.03311386417</v>
      </c>
    </row>
    <row r="12">
      <c r="A12" s="1">
        <v>1.0</v>
      </c>
      <c r="B12" s="1">
        <v>0.3</v>
      </c>
      <c r="C12" s="1">
        <v>0.6254</v>
      </c>
      <c r="D12" s="1">
        <v>0.63</v>
      </c>
      <c r="E12" s="2">
        <f t="shared" si="12"/>
        <v>0.0046</v>
      </c>
      <c r="F12" s="2">
        <f t="shared" si="13"/>
        <v>0.7301587302</v>
      </c>
      <c r="G12" s="2" t="str">
        <f t="shared" si="14"/>
        <v>PASS</v>
      </c>
      <c r="J12" s="1">
        <v>5.0</v>
      </c>
      <c r="K12" s="2">
        <f>F35</f>
        <v>1.312753266</v>
      </c>
      <c r="L12" s="2">
        <f>F42</f>
        <v>1.830505926</v>
      </c>
      <c r="N12" s="1" t="s">
        <v>16</v>
      </c>
      <c r="P12" s="1">
        <v>5.0</v>
      </c>
      <c r="Q12" s="2">
        <f>E36</f>
        <v>0.002797022226</v>
      </c>
      <c r="R12" s="2">
        <f>E43</f>
        <v>0.005950070028</v>
      </c>
    </row>
    <row r="13">
      <c r="A13" s="1">
        <v>1.0</v>
      </c>
      <c r="B13" s="1">
        <v>0.3</v>
      </c>
      <c r="C13" s="1">
        <v>0.8484</v>
      </c>
      <c r="D13" s="1">
        <v>0.86</v>
      </c>
      <c r="E13" s="2">
        <f t="shared" si="12"/>
        <v>0.0116</v>
      </c>
      <c r="F13" s="2">
        <f t="shared" si="13"/>
        <v>1.348837209</v>
      </c>
      <c r="G13" s="2" t="str">
        <f t="shared" si="14"/>
        <v>PASS</v>
      </c>
    </row>
    <row r="14">
      <c r="D14" s="3" t="s">
        <v>12</v>
      </c>
      <c r="E14" s="4">
        <f t="shared" ref="E14:F14" si="15">AVERAGE(E9:E13)</f>
        <v>0.0116</v>
      </c>
      <c r="F14" s="4">
        <f t="shared" si="15"/>
        <v>1.765043474</v>
      </c>
      <c r="G14" s="2" t="str">
        <f t="shared" si="14"/>
        <v>PASS</v>
      </c>
      <c r="O14" s="1" t="s">
        <v>17</v>
      </c>
    </row>
    <row r="15">
      <c r="D15" s="3" t="s">
        <v>13</v>
      </c>
      <c r="E15" s="5">
        <f t="shared" ref="E15:F15" si="16">STDEV(E9:E13)</f>
        <v>0.006566962768</v>
      </c>
      <c r="F15" s="5">
        <f t="shared" si="16"/>
        <v>1.16888977</v>
      </c>
    </row>
    <row r="16">
      <c r="A16" s="1">
        <v>3.0</v>
      </c>
      <c r="B16" s="1">
        <v>0.1</v>
      </c>
      <c r="C16" s="1">
        <v>2.8782</v>
      </c>
      <c r="D16" s="1">
        <v>2.93</v>
      </c>
      <c r="E16" s="2">
        <f t="shared" ref="E16:E20" si="17">abs(C16-D16)</f>
        <v>0.0518</v>
      </c>
      <c r="F16" s="2">
        <f t="shared" ref="F16:F20" si="18">E16/D16*100</f>
        <v>1.767918089</v>
      </c>
      <c r="G16" s="2" t="str">
        <f t="shared" ref="G16:G21" si="19">IF(E16 &lt;= 0.05, "PASS", "FAIL")</f>
        <v>FAIL</v>
      </c>
    </row>
    <row r="17">
      <c r="A17" s="1">
        <v>3.0</v>
      </c>
      <c r="B17" s="1">
        <v>0.1</v>
      </c>
      <c r="C17" s="1">
        <v>3.0958</v>
      </c>
      <c r="D17" s="1">
        <v>2.94</v>
      </c>
      <c r="E17" s="2">
        <f t="shared" si="17"/>
        <v>0.1558</v>
      </c>
      <c r="F17" s="2">
        <f t="shared" si="18"/>
        <v>5.299319728</v>
      </c>
      <c r="G17" s="2" t="str">
        <f t="shared" si="19"/>
        <v>FAIL</v>
      </c>
    </row>
    <row r="18">
      <c r="A18" s="1">
        <v>3.0</v>
      </c>
      <c r="B18" s="1">
        <v>0.1</v>
      </c>
      <c r="C18" s="1">
        <v>2.9085</v>
      </c>
      <c r="D18" s="1">
        <v>2.95</v>
      </c>
      <c r="E18" s="2">
        <f t="shared" si="17"/>
        <v>0.0415</v>
      </c>
      <c r="F18" s="2">
        <f t="shared" si="18"/>
        <v>1.406779661</v>
      </c>
      <c r="G18" s="2" t="str">
        <f t="shared" si="19"/>
        <v>PASS</v>
      </c>
    </row>
    <row r="19">
      <c r="A19" s="1">
        <v>3.0</v>
      </c>
      <c r="B19" s="1">
        <v>0.1</v>
      </c>
      <c r="C19" s="1">
        <v>3.0953</v>
      </c>
      <c r="D19" s="1">
        <v>2.95</v>
      </c>
      <c r="E19" s="2">
        <f t="shared" si="17"/>
        <v>0.1453</v>
      </c>
      <c r="F19" s="2">
        <f t="shared" si="18"/>
        <v>4.925423729</v>
      </c>
      <c r="G19" s="2" t="str">
        <f t="shared" si="19"/>
        <v>FAIL</v>
      </c>
    </row>
    <row r="20">
      <c r="A20" s="1">
        <v>3.0</v>
      </c>
      <c r="B20" s="1">
        <v>0.1</v>
      </c>
      <c r="C20" s="1">
        <v>3.0167</v>
      </c>
      <c r="D20" s="1">
        <v>2.9</v>
      </c>
      <c r="E20" s="2">
        <f t="shared" si="17"/>
        <v>0.1167</v>
      </c>
      <c r="F20" s="2">
        <f t="shared" si="18"/>
        <v>4.024137931</v>
      </c>
      <c r="G20" s="2" t="str">
        <f t="shared" si="19"/>
        <v>FAIL</v>
      </c>
    </row>
    <row r="21">
      <c r="D21" s="3" t="s">
        <v>12</v>
      </c>
      <c r="E21" s="4">
        <f t="shared" ref="E21:F21" si="20">AVERAGE(E16:E20)</f>
        <v>0.10222</v>
      </c>
      <c r="F21" s="4">
        <f t="shared" si="20"/>
        <v>3.484715827</v>
      </c>
      <c r="G21" s="2" t="str">
        <f t="shared" si="19"/>
        <v>FAIL</v>
      </c>
    </row>
    <row r="22">
      <c r="D22" s="3" t="s">
        <v>13</v>
      </c>
      <c r="E22" s="5">
        <f t="shared" ref="E22:F22" si="21">stdev(E16:E20)</f>
        <v>0.05283338906</v>
      </c>
      <c r="F22" s="5">
        <f t="shared" si="21"/>
        <v>1.797541096</v>
      </c>
    </row>
    <row r="23">
      <c r="A23" s="1">
        <v>3.0</v>
      </c>
      <c r="B23" s="1">
        <v>0.3</v>
      </c>
      <c r="C23" s="1">
        <v>2.8766</v>
      </c>
      <c r="D23" s="1">
        <v>2.82</v>
      </c>
      <c r="E23" s="2">
        <f t="shared" ref="E23:E27" si="22">abs(C23-D23)</f>
        <v>0.0566</v>
      </c>
      <c r="F23" s="2">
        <f t="shared" ref="F23:F27" si="23">E23/D23*100</f>
        <v>2.007092199</v>
      </c>
      <c r="G23" s="2" t="str">
        <f t="shared" ref="G23:G28" si="24">IF(E23 &lt;= 0.05, "PASS", "FAIL")</f>
        <v>FAIL</v>
      </c>
    </row>
    <row r="24">
      <c r="A24" s="1">
        <v>3.0</v>
      </c>
      <c r="B24" s="1">
        <v>0.3</v>
      </c>
      <c r="C24" s="1">
        <v>2.8852</v>
      </c>
      <c r="D24" s="1">
        <v>2.83</v>
      </c>
      <c r="E24" s="2">
        <f t="shared" si="22"/>
        <v>0.0552</v>
      </c>
      <c r="F24" s="2">
        <f t="shared" si="23"/>
        <v>1.950530035</v>
      </c>
      <c r="G24" s="2" t="str">
        <f t="shared" si="24"/>
        <v>FAIL</v>
      </c>
    </row>
    <row r="25">
      <c r="A25" s="1">
        <v>3.0</v>
      </c>
      <c r="B25" s="1">
        <v>0.3</v>
      </c>
      <c r="C25" s="1">
        <v>2.7277</v>
      </c>
      <c r="D25" s="1">
        <v>2.6</v>
      </c>
      <c r="E25" s="2">
        <f t="shared" si="22"/>
        <v>0.1277</v>
      </c>
      <c r="F25" s="2">
        <f t="shared" si="23"/>
        <v>4.911538462</v>
      </c>
      <c r="G25" s="2" t="str">
        <f t="shared" si="24"/>
        <v>FAIL</v>
      </c>
    </row>
    <row r="26">
      <c r="A26" s="1">
        <v>3.0</v>
      </c>
      <c r="B26" s="1">
        <v>0.3</v>
      </c>
      <c r="C26" s="1">
        <v>2.778</v>
      </c>
      <c r="D26" s="1">
        <v>2.72</v>
      </c>
      <c r="E26" s="2">
        <f t="shared" si="22"/>
        <v>0.058</v>
      </c>
      <c r="F26" s="2">
        <f t="shared" si="23"/>
        <v>2.132352941</v>
      </c>
      <c r="G26" s="2" t="str">
        <f t="shared" si="24"/>
        <v>FAIL</v>
      </c>
    </row>
    <row r="27">
      <c r="A27" s="1">
        <v>3.0</v>
      </c>
      <c r="B27" s="1">
        <v>0.3</v>
      </c>
      <c r="C27" s="1">
        <v>2.7572</v>
      </c>
      <c r="D27" s="1">
        <v>2.71</v>
      </c>
      <c r="E27" s="2">
        <f t="shared" si="22"/>
        <v>0.0472</v>
      </c>
      <c r="F27" s="2">
        <f t="shared" si="23"/>
        <v>1.741697417</v>
      </c>
      <c r="G27" s="2" t="str">
        <f t="shared" si="24"/>
        <v>PASS</v>
      </c>
    </row>
    <row r="28">
      <c r="D28" s="3" t="s">
        <v>12</v>
      </c>
      <c r="E28" s="4">
        <f t="shared" ref="E28:F28" si="25">AVERAGE(E23:E27)</f>
        <v>0.06894</v>
      </c>
      <c r="F28" s="4">
        <f t="shared" si="25"/>
        <v>2.548642211</v>
      </c>
      <c r="G28" s="2" t="str">
        <f t="shared" si="24"/>
        <v>FAIL</v>
      </c>
    </row>
    <row r="29">
      <c r="D29" s="3" t="s">
        <v>13</v>
      </c>
      <c r="E29" s="5">
        <f t="shared" ref="E29:F29" si="26">stdev(E23:E27)</f>
        <v>0.03311386417</v>
      </c>
      <c r="F29" s="5">
        <f t="shared" si="26"/>
        <v>1.328415404</v>
      </c>
    </row>
    <row r="30">
      <c r="A30" s="1">
        <v>5.0</v>
      </c>
      <c r="B30" s="1">
        <v>0.1</v>
      </c>
      <c r="C30" s="1">
        <v>4.8201</v>
      </c>
      <c r="D30" s="1">
        <v>4.88</v>
      </c>
      <c r="E30" s="2">
        <f t="shared" ref="E30:E34" si="27">abs(C30-D30)</f>
        <v>0.0599</v>
      </c>
      <c r="F30" s="2">
        <f t="shared" ref="F30:F34" si="28">E30/D30*100</f>
        <v>1.227459016</v>
      </c>
      <c r="G30" s="2" t="str">
        <f t="shared" ref="G30:G35" si="29">IF(E30 &lt;= 0.05, "PASS", "FAIL")</f>
        <v>FAIL</v>
      </c>
    </row>
    <row r="31">
      <c r="A31" s="1">
        <v>5.0</v>
      </c>
      <c r="B31" s="1">
        <v>0.1</v>
      </c>
      <c r="C31" s="1">
        <v>4.8759</v>
      </c>
      <c r="D31" s="1">
        <v>4.94</v>
      </c>
      <c r="E31" s="2">
        <f t="shared" si="27"/>
        <v>0.0641</v>
      </c>
      <c r="F31" s="2">
        <f t="shared" si="28"/>
        <v>1.29757085</v>
      </c>
      <c r="G31" s="2" t="str">
        <f t="shared" si="29"/>
        <v>FAIL</v>
      </c>
    </row>
    <row r="32">
      <c r="A32" s="1">
        <v>5.0</v>
      </c>
      <c r="B32" s="1">
        <v>0.1</v>
      </c>
      <c r="C32" s="1">
        <v>4.9952</v>
      </c>
      <c r="D32" s="1">
        <v>4.93</v>
      </c>
      <c r="E32" s="2">
        <f t="shared" si="27"/>
        <v>0.0652</v>
      </c>
      <c r="F32" s="2">
        <f t="shared" si="28"/>
        <v>1.322515213</v>
      </c>
      <c r="G32" s="2" t="str">
        <f t="shared" si="29"/>
        <v>FAIL</v>
      </c>
    </row>
    <row r="33">
      <c r="A33" s="1">
        <v>5.0</v>
      </c>
      <c r="B33" s="1">
        <v>0.1</v>
      </c>
      <c r="C33" s="1">
        <v>4.8543</v>
      </c>
      <c r="D33" s="1">
        <v>4.92</v>
      </c>
      <c r="E33" s="2">
        <f t="shared" si="27"/>
        <v>0.0657</v>
      </c>
      <c r="F33" s="2">
        <f t="shared" si="28"/>
        <v>1.335365854</v>
      </c>
      <c r="G33" s="2" t="str">
        <f t="shared" si="29"/>
        <v>FAIL</v>
      </c>
    </row>
    <row r="34">
      <c r="A34" s="1">
        <v>5.0</v>
      </c>
      <c r="B34" s="1">
        <v>0.1</v>
      </c>
      <c r="C34" s="1">
        <v>4.8422</v>
      </c>
      <c r="D34" s="1">
        <v>4.91</v>
      </c>
      <c r="E34" s="2">
        <f t="shared" si="27"/>
        <v>0.0678</v>
      </c>
      <c r="F34" s="2">
        <f t="shared" si="28"/>
        <v>1.380855397</v>
      </c>
      <c r="G34" s="2" t="str">
        <f t="shared" si="29"/>
        <v>FAIL</v>
      </c>
      <c r="I34" s="1" t="s">
        <v>18</v>
      </c>
      <c r="J34" s="1" t="s">
        <v>0</v>
      </c>
      <c r="K34" s="1" t="s">
        <v>14</v>
      </c>
      <c r="L34" s="1" t="s">
        <v>15</v>
      </c>
    </row>
    <row r="35">
      <c r="D35" s="3" t="s">
        <v>12</v>
      </c>
      <c r="E35" s="4">
        <f>AVERAGE(E30:E32)</f>
        <v>0.06306666667</v>
      </c>
      <c r="F35" s="4">
        <f>AVERAGE(F30:F34)</f>
        <v>1.312753266</v>
      </c>
      <c r="G35" s="2" t="str">
        <f t="shared" si="29"/>
        <v>FAIL</v>
      </c>
      <c r="J35" s="1">
        <v>1.0</v>
      </c>
      <c r="K35" s="2">
        <f>E7</f>
        <v>0.03394</v>
      </c>
      <c r="L35" s="2">
        <f>E14</f>
        <v>0.0116</v>
      </c>
    </row>
    <row r="36">
      <c r="D36" s="3" t="s">
        <v>13</v>
      </c>
      <c r="E36" s="5">
        <f>STDEV(E30:E32)</f>
        <v>0.002797022226</v>
      </c>
      <c r="F36" s="5">
        <f>STDEV(F30:F34)</f>
        <v>0.05645825839</v>
      </c>
      <c r="J36" s="1">
        <v>3.0</v>
      </c>
      <c r="K36" s="2">
        <f>E21</f>
        <v>0.10222</v>
      </c>
      <c r="L36" s="2">
        <f>E28</f>
        <v>0.06894</v>
      </c>
    </row>
    <row r="37">
      <c r="A37" s="1">
        <v>5.0</v>
      </c>
      <c r="B37" s="1">
        <v>0.3</v>
      </c>
      <c r="C37" s="1">
        <v>4.5534</v>
      </c>
      <c r="D37" s="1">
        <v>4.46</v>
      </c>
      <c r="E37" s="2">
        <f t="shared" ref="E37:E41" si="30">abs(C37-D37)</f>
        <v>0.0934</v>
      </c>
      <c r="F37" s="2">
        <f t="shared" ref="F37:F41" si="31">E37/D37*100</f>
        <v>2.094170404</v>
      </c>
      <c r="G37" s="2" t="str">
        <f t="shared" ref="G37:G42" si="32">IF(E37 &lt;= 0.05, "PASS", "FAIL")</f>
        <v>FAIL</v>
      </c>
      <c r="J37" s="1">
        <v>5.0</v>
      </c>
      <c r="K37" s="2">
        <f>E35</f>
        <v>0.06306666667</v>
      </c>
      <c r="L37" s="2">
        <f>E42</f>
        <v>0.08676666667</v>
      </c>
    </row>
    <row r="38">
      <c r="A38" s="1">
        <v>5.0</v>
      </c>
      <c r="B38" s="1">
        <v>0.3</v>
      </c>
      <c r="C38" s="1">
        <v>4.8319</v>
      </c>
      <c r="D38" s="1">
        <v>4.75</v>
      </c>
      <c r="E38" s="2">
        <f t="shared" si="30"/>
        <v>0.0819</v>
      </c>
      <c r="F38" s="2">
        <f t="shared" si="31"/>
        <v>1.724210526</v>
      </c>
      <c r="G38" s="2" t="str">
        <f t="shared" si="32"/>
        <v>FAIL</v>
      </c>
    </row>
    <row r="39">
      <c r="A39" s="1">
        <v>5.0</v>
      </c>
      <c r="B39" s="1">
        <v>0.3</v>
      </c>
      <c r="C39" s="1">
        <v>4.955</v>
      </c>
      <c r="D39" s="1">
        <v>4.87</v>
      </c>
      <c r="E39" s="2">
        <f t="shared" si="30"/>
        <v>0.085</v>
      </c>
      <c r="F39" s="2">
        <f t="shared" si="31"/>
        <v>1.745379877</v>
      </c>
      <c r="G39" s="2" t="str">
        <f t="shared" si="32"/>
        <v>FAIL</v>
      </c>
    </row>
    <row r="40">
      <c r="A40" s="1">
        <v>5.0</v>
      </c>
      <c r="B40" s="1">
        <v>0.3</v>
      </c>
      <c r="C40" s="1">
        <v>4.8142</v>
      </c>
      <c r="D40" s="1">
        <v>4.73</v>
      </c>
      <c r="E40" s="2">
        <f t="shared" si="30"/>
        <v>0.0842</v>
      </c>
      <c r="F40" s="2">
        <f t="shared" si="31"/>
        <v>1.78012685</v>
      </c>
      <c r="G40" s="2" t="str">
        <f t="shared" si="32"/>
        <v>FAIL</v>
      </c>
    </row>
    <row r="41">
      <c r="A41" s="1">
        <v>5.0</v>
      </c>
      <c r="B41" s="1">
        <v>0.3</v>
      </c>
      <c r="C41" s="1">
        <v>4.7721</v>
      </c>
      <c r="D41" s="1">
        <v>4.86</v>
      </c>
      <c r="E41" s="2">
        <f t="shared" si="30"/>
        <v>0.0879</v>
      </c>
      <c r="F41" s="2">
        <f t="shared" si="31"/>
        <v>1.808641975</v>
      </c>
      <c r="G41" s="2" t="str">
        <f t="shared" si="32"/>
        <v>FAIL</v>
      </c>
    </row>
    <row r="42">
      <c r="D42" s="3" t="s">
        <v>12</v>
      </c>
      <c r="E42" s="4">
        <f>AVERAGE(E37:E39)</f>
        <v>0.08676666667</v>
      </c>
      <c r="F42" s="4">
        <f>AVERAGE(F37:F41)</f>
        <v>1.830505926</v>
      </c>
      <c r="G42" s="2" t="str">
        <f t="shared" si="32"/>
        <v>FAIL</v>
      </c>
    </row>
    <row r="43">
      <c r="D43" s="3" t="s">
        <v>13</v>
      </c>
      <c r="E43" s="5">
        <f>STDEV(E37:E39)</f>
        <v>0.005950070028</v>
      </c>
      <c r="F43" s="5">
        <f>STDEV(F37:F41)</f>
        <v>0.150897479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9.25"/>
    <col customWidth="1" min="5" max="5" width="15.75"/>
  </cols>
  <sheetData>
    <row r="1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6</v>
      </c>
      <c r="I1" s="1" t="s">
        <v>7</v>
      </c>
      <c r="J1" s="1" t="s">
        <v>0</v>
      </c>
      <c r="K1" s="1" t="s">
        <v>1</v>
      </c>
      <c r="L1" s="1" t="s">
        <v>18</v>
      </c>
      <c r="M1" s="1" t="s">
        <v>9</v>
      </c>
      <c r="N1" s="1" t="s">
        <v>10</v>
      </c>
      <c r="O1" s="1" t="s">
        <v>11</v>
      </c>
    </row>
    <row r="2">
      <c r="A2" s="1">
        <v>0.5</v>
      </c>
      <c r="B2" s="1">
        <v>0.1</v>
      </c>
      <c r="C2" s="1">
        <v>0.0457</v>
      </c>
      <c r="D2" s="1">
        <v>0.05</v>
      </c>
      <c r="E2" s="2">
        <f t="shared" ref="E2:E6" si="2">abs(C2-D2)</f>
        <v>0.0043</v>
      </c>
      <c r="F2" s="2">
        <f t="shared" ref="F2:F6" si="3">E2/D2*100</f>
        <v>8.6</v>
      </c>
      <c r="G2" s="2" t="str">
        <f t="shared" ref="G2:G7" si="4">IF(E2 &lt;= 0.05, "PASS", "FAIL")</f>
        <v>PASS</v>
      </c>
      <c r="J2" s="1">
        <v>0.5</v>
      </c>
      <c r="K2" s="1">
        <v>0.1</v>
      </c>
      <c r="L2" s="2">
        <f t="shared" ref="L2:M2" si="1">E7</f>
        <v>0.01298</v>
      </c>
      <c r="M2" s="2">
        <f t="shared" si="1"/>
        <v>17.33545455</v>
      </c>
      <c r="N2" s="2">
        <f>E8</f>
        <v>0.01403271178</v>
      </c>
      <c r="O2" s="2" t="str">
        <f>IF(E7 &lt;= 0.05, "PASS", "FAIL")</f>
        <v>PASS</v>
      </c>
    </row>
    <row r="3">
      <c r="A3" s="1">
        <v>0.5</v>
      </c>
      <c r="B3" s="1">
        <v>0.1</v>
      </c>
      <c r="C3" s="1">
        <v>0.0944</v>
      </c>
      <c r="D3" s="1">
        <v>0.1</v>
      </c>
      <c r="E3" s="2">
        <f t="shared" si="2"/>
        <v>0.0056</v>
      </c>
      <c r="F3" s="2">
        <f t="shared" si="3"/>
        <v>5.6</v>
      </c>
      <c r="G3" s="2" t="str">
        <f t="shared" si="4"/>
        <v>PASS</v>
      </c>
      <c r="J3" s="1">
        <v>0.5</v>
      </c>
      <c r="K3" s="1">
        <v>0.2</v>
      </c>
      <c r="L3" s="2">
        <f t="shared" ref="L3:M3" si="5">E14</f>
        <v>0.01436</v>
      </c>
      <c r="M3" s="2">
        <f t="shared" si="5"/>
        <v>10.3017674</v>
      </c>
      <c r="N3" s="2">
        <f>E15</f>
        <v>0.002287575135</v>
      </c>
      <c r="O3" s="2" t="str">
        <f>IF(E14 &lt;= 0.05, "PASS", "FAIL")</f>
        <v>PASS</v>
      </c>
    </row>
    <row r="4">
      <c r="A4" s="1">
        <v>0.5</v>
      </c>
      <c r="B4" s="1">
        <v>0.1</v>
      </c>
      <c r="C4" s="1">
        <v>0.0411</v>
      </c>
      <c r="D4" s="1">
        <v>0.04</v>
      </c>
      <c r="E4" s="2">
        <f t="shared" si="2"/>
        <v>0.0011</v>
      </c>
      <c r="F4" s="2">
        <f t="shared" si="3"/>
        <v>2.75</v>
      </c>
      <c r="G4" s="2" t="str">
        <f t="shared" si="4"/>
        <v>PASS</v>
      </c>
      <c r="J4" s="1">
        <v>0.5</v>
      </c>
      <c r="K4" s="1">
        <v>0.3</v>
      </c>
      <c r="L4" s="2">
        <f t="shared" ref="L4:M4" si="6">E21</f>
        <v>0.0509</v>
      </c>
      <c r="M4" s="2">
        <f t="shared" si="6"/>
        <v>17.46317568</v>
      </c>
      <c r="N4" s="2">
        <f>E22</f>
        <v>0.06200415309</v>
      </c>
      <c r="O4" s="2" t="str">
        <f>IF(E21 &lt;= 0.05, "PASS", "FAIL")</f>
        <v>FAIL</v>
      </c>
    </row>
    <row r="5">
      <c r="A5" s="1">
        <v>0.5</v>
      </c>
      <c r="B5" s="1">
        <v>0.1</v>
      </c>
      <c r="C5" s="1">
        <v>0.0751</v>
      </c>
      <c r="D5" s="1">
        <v>0.11</v>
      </c>
      <c r="E5" s="2">
        <f t="shared" si="2"/>
        <v>0.0349</v>
      </c>
      <c r="F5" s="2">
        <f t="shared" si="3"/>
        <v>31.72727273</v>
      </c>
      <c r="G5" s="2" t="str">
        <f t="shared" si="4"/>
        <v>PASS</v>
      </c>
      <c r="J5" s="1">
        <v>1.0</v>
      </c>
      <c r="K5" s="1">
        <v>0.1</v>
      </c>
      <c r="L5" s="2">
        <f t="shared" ref="L5:M5" si="7">E28</f>
        <v>0.02808</v>
      </c>
      <c r="M5" s="2">
        <f t="shared" si="7"/>
        <v>22.80150043</v>
      </c>
      <c r="N5" s="2">
        <f>E29</f>
        <v>0.02185685247</v>
      </c>
      <c r="O5" s="2" t="str">
        <f>IF(E28 &lt;= 0.05, "PASS", "FAIL")</f>
        <v>PASS</v>
      </c>
    </row>
    <row r="6">
      <c r="A6" s="1">
        <v>0.5</v>
      </c>
      <c r="B6" s="1">
        <v>0.1</v>
      </c>
      <c r="C6" s="1">
        <v>0.031</v>
      </c>
      <c r="D6" s="1">
        <v>0.05</v>
      </c>
      <c r="E6" s="2">
        <f t="shared" si="2"/>
        <v>0.019</v>
      </c>
      <c r="F6" s="2">
        <f t="shared" si="3"/>
        <v>38</v>
      </c>
      <c r="G6" s="2" t="str">
        <f t="shared" si="4"/>
        <v>PASS</v>
      </c>
      <c r="J6" s="1">
        <v>1.0</v>
      </c>
      <c r="K6" s="1">
        <v>0.2</v>
      </c>
      <c r="L6" s="2">
        <f t="shared" ref="L6:M6" si="8">E35</f>
        <v>0.02574</v>
      </c>
      <c r="M6" s="2">
        <f t="shared" si="8"/>
        <v>14.32687719</v>
      </c>
      <c r="N6" s="2">
        <f>E36</f>
        <v>0.007733563215</v>
      </c>
      <c r="O6" s="2" t="str">
        <f>IF(E35 &lt;= 0.05, "PASS", "FAIL")</f>
        <v>PASS</v>
      </c>
    </row>
    <row r="7">
      <c r="D7" s="3" t="s">
        <v>12</v>
      </c>
      <c r="E7" s="4">
        <f t="shared" ref="E7:F7" si="9">AVERAGE(E2:E6)</f>
        <v>0.01298</v>
      </c>
      <c r="F7" s="4">
        <f t="shared" si="9"/>
        <v>17.33545455</v>
      </c>
      <c r="G7" s="2" t="str">
        <f t="shared" si="4"/>
        <v>PASS</v>
      </c>
      <c r="J7" s="1">
        <v>1.0</v>
      </c>
      <c r="K7" s="1">
        <v>0.3</v>
      </c>
      <c r="L7" s="2">
        <f t="shared" ref="L7:M7" si="10">E42</f>
        <v>0.0224</v>
      </c>
      <c r="M7" s="2">
        <f t="shared" si="10"/>
        <v>6.824456616</v>
      </c>
      <c r="N7" s="2">
        <f>E43</f>
        <v>0.01587041272</v>
      </c>
      <c r="O7" s="2" t="str">
        <f>IF(E42 &lt;= 0.05, "PASS", "FAIL")</f>
        <v>PASS</v>
      </c>
    </row>
    <row r="8">
      <c r="D8" s="3" t="s">
        <v>13</v>
      </c>
      <c r="E8" s="5">
        <f t="shared" ref="E8:F8" si="11">STDEV(E2:E6)</f>
        <v>0.01403271178</v>
      </c>
      <c r="F8" s="5">
        <f t="shared" si="11"/>
        <v>16.28582523</v>
      </c>
    </row>
    <row r="9">
      <c r="A9" s="1">
        <v>0.5</v>
      </c>
      <c r="B9" s="1">
        <v>0.2</v>
      </c>
      <c r="C9" s="1">
        <v>0.1322</v>
      </c>
      <c r="D9" s="1">
        <v>0.15</v>
      </c>
      <c r="E9" s="2">
        <f t="shared" ref="E9:E13" si="12">abs(C9-D9)</f>
        <v>0.0178</v>
      </c>
      <c r="F9" s="2">
        <f t="shared" ref="F9:F13" si="13">E9/D9*100</f>
        <v>11.86666667</v>
      </c>
      <c r="G9" s="2" t="str">
        <f t="shared" ref="G9:G14" si="14">IF(E9 &lt;= 0.05, "PASS", "FAIL")</f>
        <v>PASS</v>
      </c>
      <c r="I9" s="1" t="s">
        <v>18</v>
      </c>
      <c r="J9" s="1" t="s">
        <v>0</v>
      </c>
      <c r="K9" s="1" t="s">
        <v>23</v>
      </c>
      <c r="L9" s="1" t="s">
        <v>24</v>
      </c>
      <c r="M9" s="1" t="s">
        <v>25</v>
      </c>
    </row>
    <row r="10">
      <c r="A10" s="1">
        <v>0.5</v>
      </c>
      <c r="B10" s="1">
        <v>0.2</v>
      </c>
      <c r="C10" s="1">
        <v>0.1285</v>
      </c>
      <c r="D10" s="1">
        <v>0.14</v>
      </c>
      <c r="E10" s="2">
        <f t="shared" si="12"/>
        <v>0.0115</v>
      </c>
      <c r="F10" s="2">
        <f t="shared" si="13"/>
        <v>8.214285714</v>
      </c>
      <c r="G10" s="2" t="str">
        <f t="shared" si="14"/>
        <v>PASS</v>
      </c>
      <c r="J10" s="1">
        <v>0.5</v>
      </c>
      <c r="K10" s="2">
        <f>E7</f>
        <v>0.01298</v>
      </c>
      <c r="L10" s="2">
        <f>E14</f>
        <v>0.01436</v>
      </c>
      <c r="M10" s="2">
        <f>E21</f>
        <v>0.0509</v>
      </c>
    </row>
    <row r="11">
      <c r="A11" s="1">
        <v>0.5</v>
      </c>
      <c r="B11" s="1">
        <v>0.2</v>
      </c>
      <c r="C11" s="1">
        <v>0.1162</v>
      </c>
      <c r="D11" s="1">
        <v>0.13</v>
      </c>
      <c r="E11" s="2">
        <f t="shared" si="12"/>
        <v>0.0138</v>
      </c>
      <c r="F11" s="2">
        <f t="shared" si="13"/>
        <v>10.61538462</v>
      </c>
      <c r="G11" s="2" t="str">
        <f t="shared" si="14"/>
        <v>PASS</v>
      </c>
      <c r="J11" s="1">
        <v>1.0</v>
      </c>
      <c r="K11" s="2">
        <f>E28</f>
        <v>0.02808</v>
      </c>
      <c r="L11" s="2">
        <f>E35</f>
        <v>0.02574</v>
      </c>
      <c r="M11" s="2">
        <f>E42</f>
        <v>0.0224</v>
      </c>
    </row>
    <row r="12">
      <c r="A12" s="1">
        <v>0.5</v>
      </c>
      <c r="B12" s="1">
        <v>0.2</v>
      </c>
      <c r="C12" s="1">
        <v>0.1062</v>
      </c>
      <c r="D12" s="1">
        <v>0.12</v>
      </c>
      <c r="E12" s="2">
        <f t="shared" si="12"/>
        <v>0.0138</v>
      </c>
      <c r="F12" s="2">
        <f t="shared" si="13"/>
        <v>11.5</v>
      </c>
      <c r="G12" s="2" t="str">
        <f t="shared" si="14"/>
        <v>PASS</v>
      </c>
    </row>
    <row r="13">
      <c r="A13" s="1">
        <v>0.5</v>
      </c>
      <c r="B13" s="1">
        <v>0.2</v>
      </c>
      <c r="C13" s="1">
        <v>0.1451</v>
      </c>
      <c r="D13" s="1">
        <v>0.16</v>
      </c>
      <c r="E13" s="2">
        <f t="shared" si="12"/>
        <v>0.0149</v>
      </c>
      <c r="F13" s="2">
        <f t="shared" si="13"/>
        <v>9.3125</v>
      </c>
      <c r="G13" s="2" t="str">
        <f t="shared" si="14"/>
        <v>PASS</v>
      </c>
    </row>
    <row r="14">
      <c r="D14" s="3" t="s">
        <v>12</v>
      </c>
      <c r="E14" s="4">
        <f t="shared" ref="E14:F14" si="15">AVERAGE(E9:E13)</f>
        <v>0.01436</v>
      </c>
      <c r="F14" s="4">
        <f t="shared" si="15"/>
        <v>10.3017674</v>
      </c>
      <c r="G14" s="2" t="str">
        <f t="shared" si="14"/>
        <v>PASS</v>
      </c>
      <c r="I14" s="1" t="s">
        <v>9</v>
      </c>
      <c r="J14" s="1" t="s">
        <v>0</v>
      </c>
      <c r="K14" s="1" t="s">
        <v>23</v>
      </c>
      <c r="L14" s="1" t="s">
        <v>24</v>
      </c>
      <c r="M14" s="1" t="s">
        <v>25</v>
      </c>
    </row>
    <row r="15">
      <c r="D15" s="3" t="s">
        <v>13</v>
      </c>
      <c r="E15" s="5">
        <f t="shared" ref="E15:F15" si="16">STDEV(E9:E13)</f>
        <v>0.002287575135</v>
      </c>
      <c r="F15" s="5">
        <f t="shared" si="16"/>
        <v>1.526372875</v>
      </c>
      <c r="J15" s="1">
        <v>0.5</v>
      </c>
      <c r="K15" s="2">
        <f>F7</f>
        <v>17.33545455</v>
      </c>
      <c r="L15" s="2">
        <f>F14</f>
        <v>10.3017674</v>
      </c>
      <c r="M15" s="2">
        <f>F21</f>
        <v>17.46317568</v>
      </c>
    </row>
    <row r="16">
      <c r="A16" s="1">
        <v>0.5</v>
      </c>
      <c r="B16" s="1">
        <v>0.3</v>
      </c>
      <c r="C16" s="1">
        <v>0.3389</v>
      </c>
      <c r="D16" s="1">
        <v>0.32</v>
      </c>
      <c r="E16" s="2">
        <f t="shared" ref="E16:E20" si="17">abs(C16-D16)</f>
        <v>0.0189</v>
      </c>
      <c r="F16" s="2">
        <f t="shared" ref="F16:F20" si="18">E16/D16*100</f>
        <v>5.90625</v>
      </c>
      <c r="G16" s="2" t="str">
        <f t="shared" ref="G16:G21" si="19">IF(E16 &lt;= 0.05, "PASS", "FAIL")</f>
        <v>PASS</v>
      </c>
      <c r="J16" s="1">
        <v>1.0</v>
      </c>
      <c r="K16" s="2">
        <f>F28</f>
        <v>22.80150043</v>
      </c>
      <c r="L16" s="2">
        <f>F35</f>
        <v>14.32687719</v>
      </c>
      <c r="M16" s="2">
        <f>F42</f>
        <v>6.824456616</v>
      </c>
    </row>
    <row r="17">
      <c r="A17" s="1">
        <v>0.5</v>
      </c>
      <c r="B17" s="1">
        <v>0.3</v>
      </c>
      <c r="C17" s="1">
        <v>0.4684</v>
      </c>
      <c r="D17" s="1">
        <v>0.32</v>
      </c>
      <c r="E17" s="2">
        <f t="shared" si="17"/>
        <v>0.1484</v>
      </c>
      <c r="F17" s="2">
        <f t="shared" si="18"/>
        <v>46.375</v>
      </c>
      <c r="G17" s="2" t="str">
        <f t="shared" si="19"/>
        <v>FAIL</v>
      </c>
    </row>
    <row r="18">
      <c r="A18" s="1">
        <v>0.5</v>
      </c>
      <c r="B18" s="1">
        <v>0.3</v>
      </c>
      <c r="C18" s="1">
        <v>0.3649</v>
      </c>
      <c r="D18" s="1">
        <v>0.37</v>
      </c>
      <c r="E18" s="2">
        <f t="shared" si="17"/>
        <v>0.0051</v>
      </c>
      <c r="F18" s="2">
        <f t="shared" si="18"/>
        <v>1.378378378</v>
      </c>
      <c r="G18" s="2" t="str">
        <f t="shared" si="19"/>
        <v>PASS</v>
      </c>
    </row>
    <row r="19">
      <c r="A19" s="1">
        <v>0.5</v>
      </c>
      <c r="B19" s="1">
        <v>0.3</v>
      </c>
      <c r="C19" s="1">
        <v>0.3147</v>
      </c>
      <c r="D19" s="1">
        <v>0.32</v>
      </c>
      <c r="E19" s="2">
        <f t="shared" si="17"/>
        <v>0.0053</v>
      </c>
      <c r="F19" s="2">
        <f t="shared" si="18"/>
        <v>1.65625</v>
      </c>
      <c r="G19" s="2" t="str">
        <f t="shared" si="19"/>
        <v>PASS</v>
      </c>
      <c r="I19" s="1" t="s">
        <v>10</v>
      </c>
      <c r="J19" s="1" t="s">
        <v>0</v>
      </c>
      <c r="K19" s="1" t="s">
        <v>23</v>
      </c>
      <c r="L19" s="1" t="s">
        <v>24</v>
      </c>
      <c r="M19" s="1" t="s">
        <v>25</v>
      </c>
    </row>
    <row r="20">
      <c r="A20" s="1">
        <v>0.5</v>
      </c>
      <c r="B20" s="1">
        <v>0.3</v>
      </c>
      <c r="C20" s="1">
        <v>0.3168</v>
      </c>
      <c r="D20" s="1">
        <v>0.24</v>
      </c>
      <c r="E20" s="2">
        <f t="shared" si="17"/>
        <v>0.0768</v>
      </c>
      <c r="F20" s="2">
        <f t="shared" si="18"/>
        <v>32</v>
      </c>
      <c r="G20" s="2" t="str">
        <f t="shared" si="19"/>
        <v>FAIL</v>
      </c>
      <c r="J20" s="1">
        <v>0.5</v>
      </c>
      <c r="K20" s="2">
        <f>E8</f>
        <v>0.01403271178</v>
      </c>
      <c r="L20" s="2">
        <f>E15</f>
        <v>0.002287575135</v>
      </c>
      <c r="M20" s="2">
        <f>E22</f>
        <v>0.06200415309</v>
      </c>
    </row>
    <row r="21">
      <c r="D21" s="3" t="s">
        <v>12</v>
      </c>
      <c r="E21" s="4">
        <f t="shared" ref="E21:F21" si="20">AVERAGE(E16:E20)</f>
        <v>0.0509</v>
      </c>
      <c r="F21" s="4">
        <f t="shared" si="20"/>
        <v>17.46317568</v>
      </c>
      <c r="G21" s="2" t="str">
        <f t="shared" si="19"/>
        <v>FAIL</v>
      </c>
      <c r="J21" s="1">
        <v>1.0</v>
      </c>
      <c r="K21" s="2">
        <f>E29</f>
        <v>0.02185685247</v>
      </c>
      <c r="L21" s="2">
        <f>E36</f>
        <v>0.007733563215</v>
      </c>
      <c r="M21" s="2">
        <f>E43</f>
        <v>0.01587041272</v>
      </c>
    </row>
    <row r="22">
      <c r="D22" s="3" t="s">
        <v>13</v>
      </c>
      <c r="E22" s="5">
        <f t="shared" ref="E22:F22" si="21">STDEV(E16:E20)</f>
        <v>0.06200415309</v>
      </c>
      <c r="F22" s="5">
        <f t="shared" si="21"/>
        <v>20.55088186</v>
      </c>
    </row>
    <row r="23">
      <c r="A23" s="1">
        <v>1.0</v>
      </c>
      <c r="B23" s="1">
        <v>0.1</v>
      </c>
      <c r="C23" s="1">
        <v>0.2071</v>
      </c>
      <c r="D23" s="1">
        <v>0.23</v>
      </c>
      <c r="E23" s="2">
        <f t="shared" ref="E23:E27" si="22">abs(C23-D23)</f>
        <v>0.0229</v>
      </c>
      <c r="F23" s="2">
        <f t="shared" ref="F23:F27" si="23">E23/D23*100</f>
        <v>9.956521739</v>
      </c>
      <c r="G23" s="2" t="str">
        <f t="shared" ref="G23:G28" si="24">IF(E23 &lt;= 0.05, "PASS", "FAIL")</f>
        <v>PASS</v>
      </c>
    </row>
    <row r="24">
      <c r="A24" s="1">
        <v>1.0</v>
      </c>
      <c r="B24" s="1">
        <v>0.1</v>
      </c>
      <c r="C24" s="1">
        <v>0.1368</v>
      </c>
      <c r="D24" s="1">
        <v>0.15</v>
      </c>
      <c r="E24" s="2">
        <f t="shared" si="22"/>
        <v>0.0132</v>
      </c>
      <c r="F24" s="2">
        <f t="shared" si="23"/>
        <v>8.8</v>
      </c>
      <c r="G24" s="2" t="str">
        <f t="shared" si="24"/>
        <v>PASS</v>
      </c>
    </row>
    <row r="25">
      <c r="A25" s="1">
        <v>1.0</v>
      </c>
      <c r="B25" s="1">
        <v>0.1</v>
      </c>
      <c r="C25" s="1">
        <v>0.2365</v>
      </c>
      <c r="D25" s="1">
        <v>0.17</v>
      </c>
      <c r="E25" s="2">
        <f t="shared" si="22"/>
        <v>0.0665</v>
      </c>
      <c r="F25" s="2">
        <f t="shared" si="23"/>
        <v>39.11764706</v>
      </c>
      <c r="G25" s="2" t="str">
        <f t="shared" si="24"/>
        <v>FAIL</v>
      </c>
    </row>
    <row r="26">
      <c r="A26" s="1">
        <v>1.0</v>
      </c>
      <c r="B26" s="1">
        <v>0.1</v>
      </c>
      <c r="C26" s="1">
        <v>0.0659</v>
      </c>
      <c r="D26" s="1">
        <v>0.05</v>
      </c>
      <c r="E26" s="2">
        <f t="shared" si="22"/>
        <v>0.0159</v>
      </c>
      <c r="F26" s="2">
        <f t="shared" si="23"/>
        <v>31.8</v>
      </c>
      <c r="G26" s="2" t="str">
        <f t="shared" si="24"/>
        <v>PASS</v>
      </c>
    </row>
    <row r="27">
      <c r="A27" s="1">
        <v>1.0</v>
      </c>
      <c r="B27" s="1">
        <v>0.1</v>
      </c>
      <c r="C27" s="1">
        <v>0.0681</v>
      </c>
      <c r="D27" s="1">
        <v>0.09</v>
      </c>
      <c r="E27" s="2">
        <f t="shared" si="22"/>
        <v>0.0219</v>
      </c>
      <c r="F27" s="2">
        <f t="shared" si="23"/>
        <v>24.33333333</v>
      </c>
      <c r="G27" s="2" t="str">
        <f t="shared" si="24"/>
        <v>PASS</v>
      </c>
    </row>
    <row r="28">
      <c r="D28" s="3" t="s">
        <v>12</v>
      </c>
      <c r="E28" s="4">
        <f t="shared" ref="E28:F28" si="25">AVERAGE(E23:E27)</f>
        <v>0.02808</v>
      </c>
      <c r="F28" s="4">
        <f t="shared" si="25"/>
        <v>22.80150043</v>
      </c>
      <c r="G28" s="2" t="str">
        <f t="shared" si="24"/>
        <v>PASS</v>
      </c>
    </row>
    <row r="29">
      <c r="D29" s="3" t="s">
        <v>13</v>
      </c>
      <c r="E29" s="5">
        <f t="shared" ref="E29:F29" si="26">STDEV(E23:E27)</f>
        <v>0.02185685247</v>
      </c>
      <c r="F29" s="5">
        <f t="shared" si="26"/>
        <v>13.32827482</v>
      </c>
    </row>
    <row r="30">
      <c r="A30" s="1">
        <v>1.0</v>
      </c>
      <c r="B30" s="1">
        <v>0.2</v>
      </c>
      <c r="C30" s="1">
        <v>0.1512</v>
      </c>
      <c r="D30" s="1">
        <v>0.19</v>
      </c>
      <c r="E30" s="2">
        <f t="shared" ref="E30:E34" si="27">abs(C30-D30)</f>
        <v>0.0388</v>
      </c>
      <c r="F30" s="2">
        <f t="shared" ref="F30:F34" si="28">E30/D30*100</f>
        <v>20.42105263</v>
      </c>
      <c r="G30" s="2" t="str">
        <f t="shared" ref="G30:G35" si="29">IF(E30 &lt;= 0.05, "PASS", "FAIL")</f>
        <v>PASS</v>
      </c>
    </row>
    <row r="31">
      <c r="A31" s="1">
        <v>1.0</v>
      </c>
      <c r="B31" s="1">
        <v>0.2</v>
      </c>
      <c r="C31" s="1">
        <v>0.1554</v>
      </c>
      <c r="D31" s="1">
        <v>0.18</v>
      </c>
      <c r="E31" s="2">
        <f t="shared" si="27"/>
        <v>0.0246</v>
      </c>
      <c r="F31" s="2">
        <f t="shared" si="28"/>
        <v>13.66666667</v>
      </c>
      <c r="G31" s="2" t="str">
        <f t="shared" si="29"/>
        <v>PASS</v>
      </c>
    </row>
    <row r="32">
      <c r="A32" s="1">
        <v>1.0</v>
      </c>
      <c r="B32" s="1">
        <v>0.2</v>
      </c>
      <c r="C32" s="1">
        <v>0.1392</v>
      </c>
      <c r="D32" s="1">
        <v>0.16</v>
      </c>
      <c r="E32" s="2">
        <f t="shared" si="27"/>
        <v>0.0208</v>
      </c>
      <c r="F32" s="2">
        <f t="shared" si="28"/>
        <v>13</v>
      </c>
      <c r="G32" s="2" t="str">
        <f t="shared" si="29"/>
        <v>PASS</v>
      </c>
    </row>
    <row r="33">
      <c r="A33" s="1">
        <v>1.0</v>
      </c>
      <c r="B33" s="1">
        <v>0.2</v>
      </c>
      <c r="C33" s="1">
        <v>0.1247</v>
      </c>
      <c r="D33" s="1">
        <v>0.15</v>
      </c>
      <c r="E33" s="2">
        <f t="shared" si="27"/>
        <v>0.0253</v>
      </c>
      <c r="F33" s="2">
        <f t="shared" si="28"/>
        <v>16.86666667</v>
      </c>
      <c r="G33" s="2" t="str">
        <f t="shared" si="29"/>
        <v>PASS</v>
      </c>
    </row>
    <row r="34">
      <c r="A34" s="1">
        <v>1.0</v>
      </c>
      <c r="B34" s="1">
        <v>0.2</v>
      </c>
      <c r="C34" s="1">
        <v>0.2308</v>
      </c>
      <c r="D34" s="1">
        <v>0.25</v>
      </c>
      <c r="E34" s="2">
        <f t="shared" si="27"/>
        <v>0.0192</v>
      </c>
      <c r="F34" s="2">
        <f t="shared" si="28"/>
        <v>7.68</v>
      </c>
      <c r="G34" s="2" t="str">
        <f t="shared" si="29"/>
        <v>PASS</v>
      </c>
    </row>
    <row r="35">
      <c r="D35" s="3" t="s">
        <v>12</v>
      </c>
      <c r="E35" s="4">
        <f t="shared" ref="E35:F35" si="30">AVERAGE(E30:E34)</f>
        <v>0.02574</v>
      </c>
      <c r="F35" s="4">
        <f t="shared" si="30"/>
        <v>14.32687719</v>
      </c>
      <c r="G35" s="2" t="str">
        <f t="shared" si="29"/>
        <v>PASS</v>
      </c>
    </row>
    <row r="36">
      <c r="D36" s="3" t="s">
        <v>13</v>
      </c>
      <c r="E36" s="5">
        <f t="shared" ref="E36:F36" si="31">STDEV(E30:E34)</f>
        <v>0.007733563215</v>
      </c>
      <c r="F36" s="5">
        <f t="shared" si="31"/>
        <v>4.74254579</v>
      </c>
    </row>
    <row r="37">
      <c r="A37" s="1">
        <v>1.0</v>
      </c>
      <c r="B37" s="1">
        <v>0.3</v>
      </c>
      <c r="C37" s="1">
        <v>0.4741</v>
      </c>
      <c r="D37" s="1">
        <v>0.48</v>
      </c>
      <c r="E37" s="2">
        <f t="shared" ref="E37:E41" si="32">abs(C37-D37)</f>
        <v>0.0059</v>
      </c>
      <c r="F37" s="2">
        <f t="shared" ref="F37:F41" si="33">E37/D37*100</f>
        <v>1.229166667</v>
      </c>
      <c r="G37" s="2" t="str">
        <f t="shared" ref="G37:G42" si="34">IF(E37 &lt;= 0.05, "PASS", "FAIL")</f>
        <v>PASS</v>
      </c>
    </row>
    <row r="38">
      <c r="A38" s="1">
        <v>1.0</v>
      </c>
      <c r="B38" s="1">
        <v>0.3</v>
      </c>
      <c r="C38" s="1">
        <v>0.3731</v>
      </c>
      <c r="D38" s="1">
        <v>0.41</v>
      </c>
      <c r="E38" s="2">
        <f t="shared" si="32"/>
        <v>0.0369</v>
      </c>
      <c r="F38" s="2">
        <f t="shared" si="33"/>
        <v>9</v>
      </c>
      <c r="G38" s="2" t="str">
        <f t="shared" si="34"/>
        <v>PASS</v>
      </c>
    </row>
    <row r="39">
      <c r="A39" s="1">
        <v>1.0</v>
      </c>
      <c r="B39" s="1">
        <v>0.3</v>
      </c>
      <c r="C39" s="1">
        <v>0.2569</v>
      </c>
      <c r="D39" s="1">
        <v>0.29</v>
      </c>
      <c r="E39" s="2">
        <f t="shared" si="32"/>
        <v>0.0331</v>
      </c>
      <c r="F39" s="2">
        <f t="shared" si="33"/>
        <v>11.4137931</v>
      </c>
      <c r="G39" s="2" t="str">
        <f t="shared" si="34"/>
        <v>PASS</v>
      </c>
    </row>
    <row r="40">
      <c r="A40" s="1">
        <v>1.0</v>
      </c>
      <c r="B40" s="1">
        <v>0.3</v>
      </c>
      <c r="C40" s="1">
        <v>0.2483</v>
      </c>
      <c r="D40" s="1">
        <v>0.28</v>
      </c>
      <c r="E40" s="2">
        <f t="shared" si="32"/>
        <v>0.0317</v>
      </c>
      <c r="F40" s="2">
        <f t="shared" si="33"/>
        <v>11.32142857</v>
      </c>
      <c r="G40" s="2" t="str">
        <f t="shared" si="34"/>
        <v>PASS</v>
      </c>
    </row>
    <row r="41">
      <c r="A41" s="1">
        <v>1.0</v>
      </c>
      <c r="B41" s="1">
        <v>0.3</v>
      </c>
      <c r="C41" s="1">
        <v>0.3756</v>
      </c>
      <c r="D41" s="1">
        <v>0.38</v>
      </c>
      <c r="E41" s="2">
        <f t="shared" si="32"/>
        <v>0.0044</v>
      </c>
      <c r="F41" s="2">
        <f t="shared" si="33"/>
        <v>1.157894737</v>
      </c>
      <c r="G41" s="2" t="str">
        <f t="shared" si="34"/>
        <v>PASS</v>
      </c>
    </row>
    <row r="42">
      <c r="D42" s="3" t="s">
        <v>12</v>
      </c>
      <c r="E42" s="4">
        <f t="shared" ref="E42:F42" si="35">AVERAGE(E37:E41)</f>
        <v>0.0224</v>
      </c>
      <c r="F42" s="4">
        <f t="shared" si="35"/>
        <v>6.824456616</v>
      </c>
      <c r="G42" s="2" t="str">
        <f t="shared" si="34"/>
        <v>PASS</v>
      </c>
      <c r="Q42" s="1" t="s">
        <v>26</v>
      </c>
    </row>
    <row r="43">
      <c r="D43" s="3" t="s">
        <v>13</v>
      </c>
      <c r="E43" s="5">
        <f t="shared" ref="E43:F43" si="36">STDEV(E37:E41)</f>
        <v>0.01587041272</v>
      </c>
      <c r="F43" s="5">
        <f t="shared" si="36"/>
        <v>5.230558009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11</v>
      </c>
      <c r="G1" s="1" t="s">
        <v>32</v>
      </c>
      <c r="H1" s="1" t="s">
        <v>33</v>
      </c>
      <c r="I1" s="1" t="s">
        <v>34</v>
      </c>
      <c r="J1" s="1" t="s">
        <v>35</v>
      </c>
    </row>
    <row r="2">
      <c r="A2" s="1">
        <v>0.17</v>
      </c>
      <c r="B2" s="1">
        <v>0.156</v>
      </c>
      <c r="C2" s="1">
        <v>0.0</v>
      </c>
      <c r="D2" s="1">
        <v>-0.014</v>
      </c>
      <c r="E2" s="2">
        <f t="shared" ref="E2:E11" si="1">D2/A2*100</f>
        <v>-8.235294118</v>
      </c>
      <c r="F2" s="2" t="str">
        <f t="shared" ref="F2:F11" si="2">IF(abs(E2) &lt;= 16, "PASS", "FAIL")</f>
        <v>PASS</v>
      </c>
      <c r="G2" s="1">
        <v>50.0</v>
      </c>
      <c r="H2" s="1">
        <v>8.24</v>
      </c>
      <c r="I2" s="1">
        <v>0.156</v>
      </c>
      <c r="J2" s="1">
        <v>0.156</v>
      </c>
    </row>
    <row r="3">
      <c r="A3" s="1">
        <v>0.25</v>
      </c>
      <c r="B3" s="1">
        <v>0.2379</v>
      </c>
      <c r="C3" s="1">
        <v>1.0E-4</v>
      </c>
      <c r="D3" s="1">
        <v>-0.0121</v>
      </c>
      <c r="E3" s="2">
        <f t="shared" si="1"/>
        <v>-4.84</v>
      </c>
      <c r="F3" s="2" t="str">
        <f t="shared" si="2"/>
        <v>PASS</v>
      </c>
      <c r="G3" s="1">
        <v>50.0</v>
      </c>
      <c r="H3" s="1">
        <v>4.84</v>
      </c>
      <c r="I3" s="1">
        <v>0.2377</v>
      </c>
      <c r="J3" s="1">
        <v>0.238</v>
      </c>
    </row>
    <row r="4">
      <c r="A4" s="1">
        <v>0.5</v>
      </c>
      <c r="B4" s="1">
        <v>0.4977</v>
      </c>
      <c r="C4" s="1">
        <v>1.0E-4</v>
      </c>
      <c r="D4" s="1">
        <v>-0.0023</v>
      </c>
      <c r="E4" s="2">
        <f t="shared" si="1"/>
        <v>-0.46</v>
      </c>
      <c r="F4" s="2" t="str">
        <f t="shared" si="2"/>
        <v>PASS</v>
      </c>
      <c r="G4" s="1">
        <v>50.0</v>
      </c>
      <c r="H4" s="1">
        <v>0.46</v>
      </c>
      <c r="I4" s="1">
        <v>0.4973</v>
      </c>
      <c r="J4" s="1">
        <v>0.4978</v>
      </c>
    </row>
    <row r="5">
      <c r="A5" s="1">
        <v>1.0</v>
      </c>
      <c r="B5" s="1">
        <v>1.0018</v>
      </c>
      <c r="C5" s="1">
        <v>2.0E-4</v>
      </c>
      <c r="D5" s="1">
        <v>0.0018</v>
      </c>
      <c r="E5" s="2">
        <f t="shared" si="1"/>
        <v>0.18</v>
      </c>
      <c r="F5" s="2" t="str">
        <f t="shared" si="2"/>
        <v>PASS</v>
      </c>
      <c r="G5" s="1">
        <v>50.0</v>
      </c>
      <c r="H5" s="1">
        <v>0.18</v>
      </c>
      <c r="I5" s="1">
        <v>1.0016</v>
      </c>
      <c r="J5" s="1">
        <v>1.0023</v>
      </c>
    </row>
    <row r="6">
      <c r="A6" s="1">
        <v>2.0</v>
      </c>
      <c r="B6" s="1">
        <v>1.9871</v>
      </c>
      <c r="C6" s="1">
        <v>6.0E-4</v>
      </c>
      <c r="D6" s="1">
        <v>-0.0129</v>
      </c>
      <c r="E6" s="2">
        <f t="shared" si="1"/>
        <v>-0.645</v>
      </c>
      <c r="F6" s="2" t="str">
        <f t="shared" si="2"/>
        <v>PASS</v>
      </c>
      <c r="G6" s="1">
        <v>50.0</v>
      </c>
      <c r="H6" s="1">
        <v>0.65</v>
      </c>
      <c r="I6" s="1">
        <v>1.9857</v>
      </c>
      <c r="J6" s="1">
        <v>1.988</v>
      </c>
    </row>
    <row r="7">
      <c r="A7" s="1">
        <v>3.0</v>
      </c>
      <c r="B7" s="1">
        <v>3.0159</v>
      </c>
      <c r="C7" s="1">
        <v>0.001</v>
      </c>
      <c r="D7" s="1">
        <v>0.0159</v>
      </c>
      <c r="E7" s="2">
        <f t="shared" si="1"/>
        <v>0.53</v>
      </c>
      <c r="F7" s="2" t="str">
        <f t="shared" si="2"/>
        <v>PASS</v>
      </c>
      <c r="G7" s="1">
        <v>50.0</v>
      </c>
      <c r="H7" s="1">
        <v>0.53</v>
      </c>
      <c r="I7" s="1">
        <v>3.0133</v>
      </c>
      <c r="J7" s="1">
        <v>3.0187</v>
      </c>
    </row>
    <row r="8">
      <c r="A8" s="1">
        <v>4.0</v>
      </c>
      <c r="B8" s="1">
        <v>4.0003</v>
      </c>
      <c r="C8" s="1">
        <v>0.0037</v>
      </c>
      <c r="D8" s="1">
        <v>3.0E-4</v>
      </c>
      <c r="E8" s="2">
        <f t="shared" si="1"/>
        <v>0.0075</v>
      </c>
      <c r="F8" s="2" t="str">
        <f t="shared" si="2"/>
        <v>PASS</v>
      </c>
      <c r="G8" s="1">
        <v>50.0</v>
      </c>
      <c r="H8" s="1">
        <v>0.01</v>
      </c>
      <c r="I8" s="1">
        <v>3.996</v>
      </c>
      <c r="J8" s="1">
        <v>4.008</v>
      </c>
    </row>
    <row r="9">
      <c r="A9" s="1">
        <v>5.0</v>
      </c>
      <c r="B9" s="1">
        <v>4.9604</v>
      </c>
      <c r="C9" s="1">
        <v>0.0017</v>
      </c>
      <c r="D9" s="1">
        <v>-0.0396</v>
      </c>
      <c r="E9" s="2">
        <f t="shared" si="1"/>
        <v>-0.792</v>
      </c>
      <c r="F9" s="2" t="str">
        <f t="shared" si="2"/>
        <v>PASS</v>
      </c>
      <c r="G9" s="1">
        <v>50.0</v>
      </c>
      <c r="H9" s="1">
        <v>0.79</v>
      </c>
      <c r="I9" s="1">
        <v>4.9573</v>
      </c>
      <c r="J9" s="1">
        <v>4.964</v>
      </c>
    </row>
    <row r="10">
      <c r="A10" s="1">
        <v>6.5</v>
      </c>
      <c r="B10" s="1">
        <v>6.4382</v>
      </c>
      <c r="C10" s="1">
        <v>0.0017</v>
      </c>
      <c r="D10" s="1">
        <v>-0.0618</v>
      </c>
      <c r="E10" s="2">
        <f t="shared" si="1"/>
        <v>-0.9507692308</v>
      </c>
      <c r="F10" s="2" t="str">
        <f t="shared" si="2"/>
        <v>PASS</v>
      </c>
      <c r="G10" s="1">
        <v>50.0</v>
      </c>
      <c r="H10" s="1">
        <v>0.95</v>
      </c>
      <c r="I10" s="1">
        <v>6.4333</v>
      </c>
      <c r="J10" s="1">
        <v>6.4427</v>
      </c>
    </row>
    <row r="11">
      <c r="A11" s="1">
        <v>8.0</v>
      </c>
      <c r="B11" s="1">
        <v>8.5344</v>
      </c>
      <c r="C11" s="1">
        <v>0.0556</v>
      </c>
      <c r="D11" s="1">
        <v>0.5344</v>
      </c>
      <c r="E11" s="2">
        <f t="shared" si="1"/>
        <v>6.68</v>
      </c>
      <c r="F11" s="2" t="str">
        <f t="shared" si="2"/>
        <v>PASS</v>
      </c>
      <c r="G11" s="1">
        <v>50.0</v>
      </c>
      <c r="H11" s="1">
        <v>6.68</v>
      </c>
      <c r="I11" s="1">
        <v>8.48</v>
      </c>
      <c r="J11" s="1">
        <v>8.6187</v>
      </c>
    </row>
    <row r="14">
      <c r="I14" s="1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37</v>
      </c>
      <c r="B1" s="6" t="s">
        <v>38</v>
      </c>
      <c r="C1" s="6" t="s">
        <v>39</v>
      </c>
      <c r="D1" s="6" t="s">
        <v>40</v>
      </c>
    </row>
    <row r="2">
      <c r="A2" s="6">
        <v>0.75</v>
      </c>
      <c r="B2" s="6" t="s">
        <v>41</v>
      </c>
      <c r="C2" s="6">
        <v>0.0</v>
      </c>
      <c r="D2" s="6" t="s">
        <v>41</v>
      </c>
    </row>
    <row r="3">
      <c r="A3" s="6">
        <v>0.8</v>
      </c>
      <c r="B3" s="6" t="s">
        <v>41</v>
      </c>
      <c r="C3" s="6">
        <v>0.0</v>
      </c>
      <c r="D3" s="6" t="s">
        <v>41</v>
      </c>
    </row>
    <row r="4">
      <c r="A4" s="6">
        <v>0.9</v>
      </c>
      <c r="B4" s="6" t="s">
        <v>42</v>
      </c>
      <c r="C4" s="6">
        <v>30.0</v>
      </c>
      <c r="D4" s="6" t="s">
        <v>41</v>
      </c>
    </row>
    <row r="5">
      <c r="A5" s="6">
        <v>1.0</v>
      </c>
      <c r="B5" s="6" t="s">
        <v>43</v>
      </c>
      <c r="C5" s="6">
        <v>448.0</v>
      </c>
      <c r="D5" s="6" t="s">
        <v>41</v>
      </c>
    </row>
    <row r="6">
      <c r="A6" s="6">
        <v>1.25</v>
      </c>
      <c r="B6" s="6" t="s">
        <v>43</v>
      </c>
      <c r="C6" s="6">
        <v>1620.0</v>
      </c>
      <c r="D6" s="6" t="s">
        <v>43</v>
      </c>
    </row>
    <row r="7">
      <c r="A7" s="6">
        <v>1.5</v>
      </c>
      <c r="B7" s="6" t="s">
        <v>43</v>
      </c>
      <c r="C7" s="6">
        <v>1316.0</v>
      </c>
      <c r="D7" s="6" t="s">
        <v>43</v>
      </c>
    </row>
    <row r="8">
      <c r="A8" s="6">
        <v>1.75</v>
      </c>
      <c r="B8" s="6" t="s">
        <v>43</v>
      </c>
      <c r="C8" s="6">
        <v>1004.0</v>
      </c>
      <c r="D8" s="6" t="s">
        <v>43</v>
      </c>
    </row>
    <row r="9">
      <c r="A9" s="6">
        <v>2.0</v>
      </c>
      <c r="B9" s="6" t="s">
        <v>43</v>
      </c>
      <c r="C9" s="6">
        <v>766.0</v>
      </c>
      <c r="D9" s="6" t="s">
        <v>43</v>
      </c>
    </row>
    <row r="10">
      <c r="A10" s="6">
        <v>2.25</v>
      </c>
      <c r="B10" s="6" t="s">
        <v>43</v>
      </c>
      <c r="C10" s="6">
        <v>639.0</v>
      </c>
      <c r="D10" s="6" t="s">
        <v>43</v>
      </c>
    </row>
    <row r="11">
      <c r="A11" s="6">
        <v>2.5</v>
      </c>
      <c r="B11" s="6" t="s">
        <v>43</v>
      </c>
      <c r="C11" s="6">
        <v>482.0</v>
      </c>
      <c r="D11" s="6" t="s">
        <v>41</v>
      </c>
    </row>
    <row r="12">
      <c r="A12" s="6">
        <v>2.75</v>
      </c>
      <c r="B12" s="6" t="s">
        <v>43</v>
      </c>
      <c r="C12" s="6">
        <v>422.0</v>
      </c>
      <c r="D12" s="6" t="s">
        <v>41</v>
      </c>
    </row>
    <row r="13">
      <c r="A13" s="6">
        <v>3.0</v>
      </c>
      <c r="B13" s="6" t="s">
        <v>43</v>
      </c>
      <c r="C13" s="6">
        <v>335.0</v>
      </c>
      <c r="D13" s="6" t="s">
        <v>41</v>
      </c>
    </row>
    <row r="14">
      <c r="A14" s="6">
        <v>4.0</v>
      </c>
      <c r="B14" s="6" t="s">
        <v>43</v>
      </c>
      <c r="C14" s="6">
        <v>186.0</v>
      </c>
      <c r="D14" s="6" t="s">
        <v>41</v>
      </c>
    </row>
    <row r="15">
      <c r="A15" s="6">
        <v>5.0</v>
      </c>
      <c r="B15" s="6" t="s">
        <v>43</v>
      </c>
      <c r="C15" s="6">
        <v>147.0</v>
      </c>
      <c r="D15" s="6" t="s">
        <v>41</v>
      </c>
    </row>
  </sheetData>
  <drawing r:id="rId1"/>
</worksheet>
</file>